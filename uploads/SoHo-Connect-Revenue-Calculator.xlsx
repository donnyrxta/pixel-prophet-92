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Calculator" sheetId="1" state="visible" r:id="rId1"/>
    <sheet xmlns:r="http://schemas.openxmlformats.org/officeDocument/2006/relationships"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b val="1"/>
      <color rgb="001E3A5F"/>
      <sz val="20"/>
    </font>
    <font>
      <i val="1"/>
      <color rgb="00666666"/>
      <sz val="10"/>
    </font>
    <font>
      <b val="1"/>
      <color rgb="001E3A5F"/>
      <sz val="12"/>
    </font>
    <font>
      <color rgb="000000FF"/>
      <sz val="11"/>
    </font>
    <font>
      <b val="1"/>
      <color rgb="00FFFFFF"/>
      <sz val="14"/>
    </font>
    <font>
      <sz val="11"/>
    </font>
    <font>
      <i val="1"/>
      <color rgb="00666666"/>
      <sz val="9"/>
    </font>
    <font>
      <color rgb="00000000"/>
      <sz val="11"/>
    </font>
    <font>
      <b val="1"/>
      <sz val="11"/>
    </font>
    <font>
      <b val="1"/>
      <color rgb="00C0392B"/>
      <sz val="12"/>
    </font>
    <font>
      <i val="1"/>
      <color rgb="00C0392B"/>
      <sz val="9"/>
    </font>
    <font>
      <b val="1"/>
      <sz val="12"/>
    </font>
    <font>
      <b val="1"/>
      <color rgb="00C0392B"/>
      <sz val="18"/>
    </font>
    <font>
      <b val="1"/>
      <color rgb="0027AE60"/>
      <sz val="18"/>
    </font>
    <font>
      <color rgb="001E3A5F"/>
      <sz val="11"/>
    </font>
    <font>
      <b val="1"/>
      <color rgb="001E3A5F"/>
      <sz val="14"/>
    </font>
    <font>
      <b val="1"/>
    </font>
    <font>
      <b val="1"/>
      <color rgb="00FFFFFF"/>
    </font>
    <font>
      <i val="1"/>
      <sz val="11"/>
    </font>
  </fonts>
  <fills count="10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FDF2F2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E8F5E9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4" fillId="2" borderId="1" applyAlignment="1" pivotButton="0" quotePrefix="0" xfId="0">
      <alignment horizontal="center"/>
    </xf>
    <xf numFmtId="0" fontId="7" fillId="0" borderId="0" pivotButton="0" quotePrefix="0" xfId="0"/>
    <xf numFmtId="3" fontId="8" fillId="4" borderId="1" applyAlignment="1" pivotButton="0" quotePrefix="0" xfId="0">
      <alignment horizontal="center"/>
    </xf>
    <xf numFmtId="0" fontId="9" fillId="0" borderId="0" pivotButton="0" quotePrefix="0" xfId="0"/>
    <xf numFmtId="3" fontId="10" fillId="5" borderId="1" applyAlignment="1" pivotButton="0" quotePrefix="0" xfId="0">
      <alignment horizontal="center"/>
    </xf>
    <xf numFmtId="0" fontId="11" fillId="0" borderId="0" pivotButton="0" quotePrefix="0" xfId="0"/>
    <xf numFmtId="164" fontId="8" fillId="4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2" fillId="0" borderId="0" pivotButton="0" quotePrefix="0" xfId="0"/>
    <xf numFmtId="164" fontId="13" fillId="5" borderId="1" applyAlignment="1" pivotButton="0" quotePrefix="0" xfId="0">
      <alignment horizontal="center"/>
    </xf>
    <xf numFmtId="164" fontId="10" fillId="5" borderId="1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4" fontId="14" fillId="8" borderId="1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8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35" customWidth="1" min="4" max="4"/>
    <col width="5" customWidth="1" min="5" max="5"/>
  </cols>
  <sheetData>
    <row r="2">
      <c r="B2" s="1" t="inlineStr">
        <is>
          <t>GUEST DATA LEAKAGE CALCULATOR</t>
        </is>
      </c>
    </row>
    <row r="3">
      <c r="B3" s="2" t="inlineStr">
        <is>
          <t>Powered by SoHo Connect | sohoconnect.co.zw</t>
        </is>
      </c>
    </row>
    <row r="5">
      <c r="B5" s="3" t="inlineStr">
        <is>
          <t>PROPERTY INFORMATION</t>
        </is>
      </c>
    </row>
    <row r="6">
      <c r="B6" t="inlineStr">
        <is>
          <t>Property Name:</t>
        </is>
      </c>
      <c r="C6" s="4" t="inlineStr">
        <is>
          <t>[Enter Property Name]</t>
        </is>
      </c>
    </row>
    <row r="7">
      <c r="B7" t="inlineStr">
        <is>
          <t>Date of Analysis:</t>
        </is>
      </c>
      <c r="C7" s="4" t="inlineStr">
        <is>
          <t>[Enter Date]</t>
        </is>
      </c>
    </row>
    <row r="9">
      <c r="B9" s="5" t="inlineStr">
        <is>
          <t>STEP 1: ENTER YOUR PROPERTY DATA</t>
        </is>
      </c>
    </row>
    <row r="11">
      <c r="B11" s="6" t="inlineStr">
        <is>
          <t>Number of rooms</t>
        </is>
      </c>
      <c r="C11" s="7" t="n">
        <v>30</v>
      </c>
      <c r="D11" s="8" t="inlineStr">
        <is>
          <t>Your total room inventory</t>
        </is>
      </c>
    </row>
    <row r="12">
      <c r="B12" s="6" t="inlineStr">
        <is>
          <t>Average occupancy rate (%)</t>
        </is>
      </c>
      <c r="C12" s="7" t="n">
        <v>60</v>
      </c>
      <c r="D12" s="8" t="inlineStr">
        <is>
          <t>Annual average occupancy percentage</t>
        </is>
      </c>
    </row>
    <row r="13">
      <c r="B13" s="6" t="inlineStr">
        <is>
          <t>Average guests per room</t>
        </is>
      </c>
      <c r="C13" s="7" t="n">
        <v>1.5</v>
      </c>
      <c r="D13" s="8" t="inlineStr">
        <is>
          <t>Typical guests per occupied room</t>
        </is>
      </c>
    </row>
    <row r="14">
      <c r="B14" s="6" t="inlineStr">
        <is>
          <t>Average room rate (USD)</t>
        </is>
      </c>
      <c r="C14" s="7" t="n">
        <v>85</v>
      </c>
      <c r="D14" s="8" t="inlineStr">
        <is>
          <t>Your ADR in USD</t>
        </is>
      </c>
    </row>
    <row r="15">
      <c r="B15" s="6" t="inlineStr">
        <is>
          <t>Current email capture rate (%)</t>
        </is>
      </c>
      <c r="C15" s="7" t="n">
        <v>0</v>
      </c>
      <c r="D15" s="8" t="inlineStr">
        <is>
          <t>% of guests whose email you collect (likely 0)</t>
        </is>
      </c>
    </row>
    <row r="17">
      <c r="B17" s="5" t="inlineStr">
        <is>
          <t>STEP 2: YOUR REVENUE LEAKAGE (AUTO-CALCULATED)</t>
        </is>
      </c>
    </row>
    <row r="19">
      <c r="B19" s="6" t="inlineStr">
        <is>
          <t>Monthly occupied room nights</t>
        </is>
      </c>
      <c r="C19" s="9">
        <f>C11*(C12/100)*30</f>
        <v/>
      </c>
      <c r="D19" s="8" t="inlineStr">
        <is>
          <t>Rooms × Occupancy × 30 days</t>
        </is>
      </c>
    </row>
    <row r="20">
      <c r="B20" s="6" t="inlineStr">
        <is>
          <t>Monthly guest Wi-Fi users (est.)</t>
        </is>
      </c>
      <c r="C20" s="9">
        <f>C19*C13</f>
        <v/>
      </c>
      <c r="D20" s="8" t="inlineStr">
        <is>
          <t>Room nights × Guests per room</t>
        </is>
      </c>
    </row>
    <row r="21">
      <c r="B21" s="6" t="inlineStr">
        <is>
          <t>Annual guest Wi-Fi users</t>
        </is>
      </c>
      <c r="C21" s="9">
        <f>C20*12</f>
        <v/>
      </c>
      <c r="D21" s="8" t="inlineStr">
        <is>
          <t>Monthly users × 12 months</t>
        </is>
      </c>
    </row>
    <row r="22">
      <c r="B22" s="6" t="inlineStr">
        <is>
          <t>Emails currently captured</t>
        </is>
      </c>
      <c r="C22" s="9">
        <f>C21*(C15/100)</f>
        <v/>
      </c>
      <c r="D22" s="8" t="inlineStr">
        <is>
          <t>Annual users × Current capture rate</t>
        </is>
      </c>
    </row>
    <row r="23">
      <c r="B23" s="10" t="inlineStr">
        <is>
          <t>Emails LOST annually</t>
        </is>
      </c>
      <c r="C23" s="11">
        <f>C21-C22</f>
        <v/>
      </c>
      <c r="D23" s="12" t="inlineStr">
        <is>
          <t>Guest contacts walking out the door</t>
        </is>
      </c>
    </row>
    <row r="25">
      <c r="B25" s="5" t="inlineStr">
        <is>
          <t>STEP 3: REVENUE IMPACT ANALYSIS</t>
        </is>
      </c>
    </row>
    <row r="27">
      <c r="B27" s="3" t="inlineStr">
        <is>
          <t>Industry Benchmarks (editable)</t>
        </is>
      </c>
    </row>
    <row r="28">
      <c r="B28" t="inlineStr">
        <is>
          <t>Email remarketing conversion rate (%)</t>
        </is>
      </c>
      <c r="C28" s="7" t="n">
        <v>8</v>
      </c>
      <c r="D28" s="8" t="inlineStr">
        <is>
          <t>Industry avg: 5-12% for hospitality</t>
        </is>
      </c>
    </row>
    <row r="29">
      <c r="B29" t="inlineStr">
        <is>
          <t>OTA commission saved per direct booking (%)</t>
        </is>
      </c>
      <c r="C29" s="7" t="n">
        <v>18</v>
      </c>
      <c r="D29" s="8" t="inlineStr">
        <is>
          <t>Booking.com/Expedia typically 15-25%</t>
        </is>
      </c>
    </row>
    <row r="31">
      <c r="B31" s="3" t="inlineStr">
        <is>
          <t>Revenue Impact Calculations</t>
        </is>
      </c>
    </row>
    <row r="32">
      <c r="B32" t="inlineStr">
        <is>
          <t>Potential direct rebookings (annual)</t>
        </is>
      </c>
      <c r="C32" s="9">
        <f>C23*(C28/100)</f>
        <v/>
      </c>
      <c r="D32" s="8" t="inlineStr">
        <is>
          <t>Lost emails × Conversion rate</t>
        </is>
      </c>
    </row>
    <row r="33">
      <c r="B33" t="inlineStr">
        <is>
          <t>Revenue from potential rebookings</t>
        </is>
      </c>
      <c r="C33" s="13">
        <f>C32*C14*2</f>
        <v/>
      </c>
      <c r="D33" s="8" t="inlineStr">
        <is>
          <t>Rebookings × ADR × 2 nights avg stay</t>
        </is>
      </c>
    </row>
    <row r="34">
      <c r="B34" t="inlineStr">
        <is>
          <t>OTA commission savings</t>
        </is>
      </c>
      <c r="C34" s="13">
        <f>C33*(C29/100)</f>
        <v/>
      </c>
      <c r="D34" s="8" t="inlineStr">
        <is>
          <t>Direct booking revenue × OTA %</t>
        </is>
      </c>
    </row>
    <row r="36">
      <c r="B36" s="14" t="inlineStr">
        <is>
          <t>YOUR BOTTOM LINE IMPACT</t>
        </is>
      </c>
    </row>
    <row r="38">
      <c r="B38" s="15" t="inlineStr">
        <is>
          <t>TOTAL ANNUAL REVENUE YOU'RE LOSING:</t>
        </is>
      </c>
      <c r="C38" s="16">
        <f>C33+C34</f>
        <v/>
      </c>
    </row>
    <row r="39">
      <c r="B39" s="6" t="inlineStr">
        <is>
          <t>Monthly equivalent:</t>
        </is>
      </c>
      <c r="C39" s="17">
        <f>C38/12</f>
        <v/>
      </c>
    </row>
    <row r="41">
      <c r="B41" s="18" t="inlineStr">
        <is>
          <t>WITH SOHO CONNECT (85% EMAIL CAPTURE)</t>
        </is>
      </c>
    </row>
    <row r="43">
      <c r="B43" t="inlineStr">
        <is>
          <t>Emails captured with SoHo Connect:</t>
        </is>
      </c>
      <c r="C43" s="9">
        <f>C21*0.85</f>
        <v/>
      </c>
    </row>
    <row r="44">
      <c r="B44" t="inlineStr">
        <is>
          <t>Additional direct bookings:</t>
        </is>
      </c>
      <c r="C44" s="9">
        <f>(C43-C22)*(C28/100)</f>
        <v/>
      </c>
    </row>
    <row r="45">
      <c r="B45" s="15" t="inlineStr">
        <is>
          <t>REVENUE RECOVERED ANNUALLY:</t>
        </is>
      </c>
      <c r="C45" s="19">
        <f>C44*C14*2*(1+(C29/100))</f>
        <v/>
      </c>
    </row>
    <row r="48">
      <c r="B48" s="20" t="inlineStr">
        <is>
          <t>Ready to stop leaving money on the table?
Book your free 15-minute discovery call:
sohoconnect.co.zw | [Your Phone] | [Your Email]</t>
        </is>
      </c>
    </row>
    <row r="49"/>
    <row r="50"/>
  </sheetData>
  <mergeCells count="10">
    <mergeCell ref="B3:D3"/>
    <mergeCell ref="B36:D36"/>
    <mergeCell ref="C38:D38"/>
    <mergeCell ref="B41:D41"/>
    <mergeCell ref="B17:D17"/>
    <mergeCell ref="B9:D9"/>
    <mergeCell ref="C45:D45"/>
    <mergeCell ref="B48:D50"/>
    <mergeCell ref="B25:D2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40" customWidth="1" min="4" max="4"/>
  </cols>
  <sheetData>
    <row r="2">
      <c r="B2" s="21" t="inlineStr">
        <is>
          <t>INDUSTRY BENCHMARKS - HOSPITALITY WI-FI MARKETING</t>
        </is>
      </c>
    </row>
    <row r="4">
      <c r="B4" s="22" t="inlineStr">
        <is>
          <t>Metric</t>
        </is>
      </c>
      <c r="C4" s="22" t="inlineStr">
        <is>
          <t>Typical Range</t>
        </is>
      </c>
      <c r="D4" s="22" t="inlineStr">
        <is>
          <t>Source/Notes</t>
        </is>
      </c>
    </row>
    <row r="5">
      <c r="B5" s="23" t="inlineStr">
        <is>
          <t>Email capture rate (with captive portal)</t>
        </is>
      </c>
      <c r="C5" s="23" t="inlineStr">
        <is>
          <t>70-90%</t>
        </is>
      </c>
      <c r="D5" s="23" t="inlineStr">
        <is>
          <t>Industry standard with proper implementation</t>
        </is>
      </c>
    </row>
    <row r="6">
      <c r="B6" s="24" t="inlineStr">
        <is>
          <t>Email capture rate (without portal)</t>
        </is>
      </c>
      <c r="C6" s="24" t="inlineStr">
        <is>
          <t>0-5%</t>
        </is>
      </c>
      <c r="D6" s="24" t="inlineStr">
        <is>
          <t>Manual collection only</t>
        </is>
      </c>
    </row>
    <row r="7">
      <c r="B7" s="23" t="inlineStr">
        <is>
          <t>Email remarketing conversion rate</t>
        </is>
      </c>
      <c r="C7" s="23" t="inlineStr">
        <is>
          <t>5-12%</t>
        </is>
      </c>
      <c r="D7" s="23" t="inlineStr">
        <is>
          <t>Hospitality email campaigns</t>
        </is>
      </c>
    </row>
    <row r="8">
      <c r="B8" s="24" t="inlineStr">
        <is>
          <t>Return guest rate (with remarketing)</t>
        </is>
      </c>
      <c r="C8" s="24" t="inlineStr">
        <is>
          <t>15-25%</t>
        </is>
      </c>
      <c r="D8" s="24" t="inlineStr">
        <is>
          <t>Properties with active email programs</t>
        </is>
      </c>
    </row>
    <row r="9">
      <c r="B9" s="23" t="inlineStr">
        <is>
          <t>Return guest rate (without remarketing)</t>
        </is>
      </c>
      <c r="C9" s="23" t="inlineStr">
        <is>
          <t>8-12%</t>
        </is>
      </c>
      <c r="D9" s="23" t="inlineStr">
        <is>
          <t>Baseline without intervention</t>
        </is>
      </c>
    </row>
    <row r="10">
      <c r="B10" s="24" t="inlineStr">
        <is>
          <t>OTA commission rates</t>
        </is>
      </c>
      <c r="C10" s="24" t="inlineStr">
        <is>
          <t>15-25%</t>
        </is>
      </c>
      <c r="D10" s="24" t="inlineStr">
        <is>
          <t>Booking.com, Expedia, etc.</t>
        </is>
      </c>
    </row>
    <row r="11">
      <c r="B11" s="23" t="inlineStr">
        <is>
          <t>Direct booking increase (after Wi-Fi marketing)</t>
        </is>
      </c>
      <c r="C11" s="23" t="inlineStr">
        <is>
          <t>20-40%</t>
        </is>
      </c>
      <c r="D11" s="23" t="inlineStr">
        <is>
          <t>First year post-implementation</t>
        </is>
      </c>
    </row>
    <row r="12">
      <c r="B12" s="24" t="inlineStr">
        <is>
          <t>Guest lifetime value increase</t>
        </is>
      </c>
      <c r="C12" s="24" t="inlineStr">
        <is>
          <t>25-50%</t>
        </is>
      </c>
      <c r="D12" s="24" t="inlineStr">
        <is>
          <t>With proper remarketing sequences</t>
        </is>
      </c>
    </row>
    <row r="13">
      <c r="B13" s="23" t="inlineStr">
        <is>
          <t>Average email open rate (hospitality)</t>
        </is>
      </c>
      <c r="C13" s="23" t="inlineStr">
        <is>
          <t>18-25%</t>
        </is>
      </c>
      <c r="D13" s="23" t="inlineStr">
        <is>
          <t>Industry benchmark</t>
        </is>
      </c>
    </row>
    <row r="14">
      <c r="B14" s="24" t="inlineStr">
        <is>
          <t>Average click-through rate</t>
        </is>
      </c>
      <c r="C14" s="24" t="inlineStr">
        <is>
          <t>2-5%</t>
        </is>
      </c>
      <c r="D14" s="24" t="inlineStr">
        <is>
          <t>Hospitality promotional emails</t>
        </is>
      </c>
    </row>
    <row r="17">
      <c r="B17" s="21" t="inlineStr">
        <is>
          <t>KEY TALKING POINTS FOR SALES CALLS</t>
        </is>
      </c>
    </row>
    <row r="19">
      <c r="B19" s="25" t="inlineStr">
        <is>
          <t>"You're giving away free Wi-Fi but getting nothing in return."</t>
        </is>
      </c>
    </row>
    <row r="20">
      <c r="B20" s="25" t="inlineStr">
        <is>
          <t>"Every guest who connects is a potential repeat booking."</t>
        </is>
      </c>
    </row>
    <row r="21">
      <c r="B21" s="25" t="inlineStr">
        <is>
          <t>"OTAs are taking 15-25% of bookings you could capture directly."</t>
        </is>
      </c>
    </row>
    <row r="22">
      <c r="B22" s="25" t="inlineStr">
        <is>
          <t>"Your competitors are already building guest databases."</t>
        </is>
      </c>
    </row>
    <row r="23">
      <c r="B23" s="25" t="inlineStr">
        <is>
          <t>"We can have you live in 48 hours with zero hardware changes."</t>
        </is>
      </c>
    </row>
    <row r="24">
      <c r="B24" s="25" t="inlineStr">
        <is>
          <t>"You'll know exactly who your guests are and how to reach them."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2025-12-08T04:09:24Z</dcterms:created>
  <dcterms:modified xmlns:dcterms="http://purl.org/dc/terms/" xmlns:xsi="http://www.w3.org/2001/XMLSchema-instance" xsi:type="dcterms:W3CDTF">2025-12-08T04:09:24Z</dcterms:modified>
</cp:coreProperties>
</file>